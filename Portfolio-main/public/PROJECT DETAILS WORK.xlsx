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civil\Desktop\"/>
    </mc:Choice>
  </mc:AlternateContent>
  <xr:revisionPtr revIDLastSave="0" documentId="13_ncr:1_{292B5EB8-6290-4DF9-BAD1-99A591920A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X3" i="1"/>
  <c r="X5" i="1"/>
  <c r="X7" i="1"/>
  <c r="X8" i="1"/>
  <c r="X9" i="1"/>
  <c r="X10" i="1"/>
  <c r="X11" i="1"/>
  <c r="X2" i="1"/>
  <c r="U11" i="1"/>
  <c r="U10" i="1"/>
  <c r="U9" i="1"/>
  <c r="U8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<sst xmlns="http://schemas.openxmlformats.org/spreadsheetml/2006/main" count="246" uniqueCount="150">
  <si>
    <t>Company</t>
  </si>
  <si>
    <t>Project Name</t>
  </si>
  <si>
    <t>Time Saved Percentage</t>
  </si>
  <si>
    <t>Built Area</t>
  </si>
  <si>
    <t>TIC</t>
  </si>
  <si>
    <t>ITC</t>
  </si>
  <si>
    <t>One Hatirjheel</t>
  </si>
  <si>
    <t>InnStar Ltd</t>
  </si>
  <si>
    <t>Concord Group</t>
  </si>
  <si>
    <t>Concord Syed Tower</t>
  </si>
  <si>
    <t>Terminal-3</t>
  </si>
  <si>
    <t>Nassa Group</t>
  </si>
  <si>
    <t>Nassa Diamond</t>
  </si>
  <si>
    <t>Nassa Heights</t>
  </si>
  <si>
    <t>Volumezero</t>
  </si>
  <si>
    <t>SJIBL HQ</t>
  </si>
  <si>
    <t>Simpletree Hashi</t>
  </si>
  <si>
    <t>Welcast Properties</t>
  </si>
  <si>
    <t>Karims Icon</t>
  </si>
  <si>
    <t>No. Of Sub Contractor</t>
  </si>
  <si>
    <t>No. of Labour</t>
  </si>
  <si>
    <t>400+</t>
  </si>
  <si>
    <t>170+</t>
  </si>
  <si>
    <t>110+</t>
  </si>
  <si>
    <t>1100+</t>
  </si>
  <si>
    <t>Company Built Area</t>
  </si>
  <si>
    <t>Company Project Value</t>
  </si>
  <si>
    <t>140+</t>
  </si>
  <si>
    <t>80+</t>
  </si>
  <si>
    <t>70+</t>
  </si>
  <si>
    <t>150+</t>
  </si>
  <si>
    <t>90+</t>
  </si>
  <si>
    <t>Location</t>
  </si>
  <si>
    <t>Construction</t>
  </si>
  <si>
    <t>Floor</t>
  </si>
  <si>
    <t>Car Parking</t>
  </si>
  <si>
    <t>Lift</t>
  </si>
  <si>
    <t>AC</t>
  </si>
  <si>
    <t>Force Ventilation</t>
  </si>
  <si>
    <t xml:space="preserve">Fire Protection </t>
  </si>
  <si>
    <t>Fire Detection</t>
  </si>
  <si>
    <t>PA System</t>
  </si>
  <si>
    <t>CCTV</t>
  </si>
  <si>
    <t>Access Control</t>
  </si>
  <si>
    <t>PABX</t>
  </si>
  <si>
    <t>BMS</t>
  </si>
  <si>
    <t>Glass Installed</t>
  </si>
  <si>
    <t>Generator</t>
  </si>
  <si>
    <t>AVR</t>
  </si>
  <si>
    <t>Transformer</t>
  </si>
  <si>
    <t>RMU</t>
  </si>
  <si>
    <t>BBT</t>
  </si>
  <si>
    <t>Solar</t>
  </si>
  <si>
    <t>Rooms</t>
  </si>
  <si>
    <t>Commercial</t>
  </si>
  <si>
    <t>73/74 CDA Avenue Muradpur, Chittagong</t>
  </si>
  <si>
    <t>RCC</t>
  </si>
  <si>
    <t>1+10</t>
  </si>
  <si>
    <t>Individual</t>
  </si>
  <si>
    <t>No</t>
  </si>
  <si>
    <t>Yes</t>
  </si>
  <si>
    <t>Double Glazed Semi Unitized System</t>
  </si>
  <si>
    <t>1 Nos 800 KVA Diesel</t>
  </si>
  <si>
    <t>630 KVA</t>
  </si>
  <si>
    <t>7 Pannel 3.5 KW</t>
  </si>
  <si>
    <t>Conference Room, Gymnasium</t>
  </si>
  <si>
    <t>103 Gulshan Avenue, Dhaka</t>
  </si>
  <si>
    <t>3+14</t>
  </si>
  <si>
    <t>Central Chiller</t>
  </si>
  <si>
    <t>Double Glazed Semi Unitized Curtain Wall</t>
  </si>
  <si>
    <t>1 Nos 1200 KVA Diesel</t>
  </si>
  <si>
    <t xml:space="preserve">3.2 KV-3 </t>
  </si>
  <si>
    <t>1250 KVA</t>
  </si>
  <si>
    <t>DESCO RMU</t>
  </si>
  <si>
    <t>1200 Amp</t>
  </si>
  <si>
    <t>16 Pannel 12 KW</t>
  </si>
  <si>
    <t>Double Height Drop off Reception, Waterbody,Gym,Private Party Lounge, Swimming Pool, Helipad</t>
  </si>
  <si>
    <t>Road 04, Block A, Banani, Dhaka</t>
  </si>
  <si>
    <t>100% Fairface &amp; Wood</t>
  </si>
  <si>
    <t>2+10</t>
  </si>
  <si>
    <t>Thai Aluminium</t>
  </si>
  <si>
    <t>1 Nos 200 KVA Diesel</t>
  </si>
  <si>
    <t>200 KVA</t>
  </si>
  <si>
    <t>8 Pannel 6 KW</t>
  </si>
  <si>
    <t xml:space="preserve">Reception, Conference Room, Gymnasium, Meeting Room, </t>
  </si>
  <si>
    <t>SED-3, 28 Gulshan Avenue</t>
  </si>
  <si>
    <t>Steel Building</t>
  </si>
  <si>
    <t>VRF System</t>
  </si>
  <si>
    <t>Tripple Glazed Semi Unitized Fritted Glass</t>
  </si>
  <si>
    <t>2 Nos 800KVA Diesel</t>
  </si>
  <si>
    <t xml:space="preserve">3.8 KV-3 </t>
  </si>
  <si>
    <t>1600 KVA</t>
  </si>
  <si>
    <t>1000 Amp</t>
  </si>
  <si>
    <t>12 Pannel 9.5 KW</t>
  </si>
  <si>
    <t>Double Height Drop off Reception, Waterbody,Gym, Conference Room</t>
  </si>
  <si>
    <t>Road 14, Dhanmondi, Dhaka</t>
  </si>
  <si>
    <t>RCC, Fairface</t>
  </si>
  <si>
    <t>2 Nos 300KVA Diesel</t>
  </si>
  <si>
    <t>800 KVA</t>
  </si>
  <si>
    <t>18 Pannel 18 KW</t>
  </si>
  <si>
    <t>Double Height Drop off Reception, Waterbody,Gym, Swimming Pool, Basket Ball Ground</t>
  </si>
  <si>
    <t>2+14</t>
  </si>
  <si>
    <t>LEED Platinum</t>
  </si>
  <si>
    <t>213/A, Tejgaon, Dhaka</t>
  </si>
  <si>
    <t>100% As Cast RCC</t>
  </si>
  <si>
    <t>5+32</t>
  </si>
  <si>
    <t>Double Glazed Curtain Wall with Combination of both Unitized and Semi Unitized System</t>
  </si>
  <si>
    <t>4 Nos 800 KVA Diesel</t>
  </si>
  <si>
    <t xml:space="preserve">6.35 KV-3 </t>
  </si>
  <si>
    <t>3200 KVA</t>
  </si>
  <si>
    <t>DPDC RMU</t>
  </si>
  <si>
    <t>2500 Amp</t>
  </si>
  <si>
    <t>60 Pannel 30KW</t>
  </si>
  <si>
    <t>Double Height Drop Off Reception, GYM, BBQ party, Swimming Pool, Helipad, Meeting Room, Conference Room, Community Club, Prayer Room, Indoor and Outdoor Games.</t>
  </si>
  <si>
    <t>EDGE</t>
  </si>
  <si>
    <t>35/Kha &amp; 36/Kha, Satrasta, Tejgaon, Dhaka</t>
  </si>
  <si>
    <t>Partial As Cast RCC</t>
  </si>
  <si>
    <t>3 Nos 1000 KVA Diesel</t>
  </si>
  <si>
    <t>2500 KVA</t>
  </si>
  <si>
    <t>50 Panel 25KW</t>
  </si>
  <si>
    <t>BBQ party, Meeting Room, Conference Room, Community Club, Prayer Room, Indoor and Outdoor Games.</t>
  </si>
  <si>
    <t>3/A, East Kunipara, GMG Circle, Hatirjheel</t>
  </si>
  <si>
    <t>Artificial Fair Face</t>
  </si>
  <si>
    <t>1+9</t>
  </si>
  <si>
    <t>20 Panel 10KW</t>
  </si>
  <si>
    <t>Reception, Conference Room, Meeting Room, Oppen Terrace</t>
  </si>
  <si>
    <t>47, Gulshan Avenue, Gulshan-1, Dhaka</t>
  </si>
  <si>
    <t>1 Nos 1000 KVA Diesel</t>
  </si>
  <si>
    <t>Land Value (M USD)</t>
  </si>
  <si>
    <t>Construction Cost (M USD)</t>
  </si>
  <si>
    <t>Total Cost (M USD)</t>
  </si>
  <si>
    <t>Sell Value (M USD)</t>
  </si>
  <si>
    <t>Duration (Month)</t>
  </si>
  <si>
    <t>Kurmitola, Dhaka-1229</t>
  </si>
  <si>
    <t xml:space="preserve">PARTIAL </t>
  </si>
  <si>
    <t>Building Type</t>
  </si>
  <si>
    <t>Data Center of 35 Banks</t>
  </si>
  <si>
    <t>Residential</t>
  </si>
  <si>
    <t>Airport Terminal</t>
  </si>
  <si>
    <t>3 Passenger</t>
  </si>
  <si>
    <t>7 Passenger+ 1 Fireman</t>
  </si>
  <si>
    <t>2 Passenger+ 1 Service</t>
  </si>
  <si>
    <t>1 Passenger + 1 Car</t>
  </si>
  <si>
    <t>2 Passenger + 1 Car</t>
  </si>
  <si>
    <t>4 Passenger + 1 Fireman</t>
  </si>
  <si>
    <t>2 Passenger</t>
  </si>
  <si>
    <t>1 Nos 250 KVA Diesel</t>
  </si>
  <si>
    <t>Double Glazed Unitized System Curtain Wall (Fritted)</t>
  </si>
  <si>
    <t>Certified</t>
  </si>
  <si>
    <t>LEED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</si>
</sst>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1"/>
  <sheetViews>
    <sheetView tabSelected="1" workbookViewId="0">
      <pane xSplit="1" topLeftCell="F1" activePane="topRight" state="frozen"/>
      <selection pane="topRight" activeCell="H11" sqref="H11"/>
    </sheetView>
  </sheetViews>
  <sheetFormatPr defaultRowHeight="14.4" x14ac:dyDescent="0.3"/>
  <cols>
    <col min="1" max="1" width="22.33203125" bestFit="1" customWidth="1"/>
    <col min="2" max="3" width="16.44140625" customWidth="1"/>
    <col min="4" max="4" width="29.88671875" bestFit="1" customWidth="1"/>
    <col min="5" max="5" width="36.33203125" bestFit="1" customWidth="1"/>
    <col min="6" max="6" width="19.88671875" bestFit="1" customWidth="1"/>
    <col min="7" max="7" width="20.88671875" bestFit="1" customWidth="1"/>
    <col min="8" max="8" width="20.88671875" customWidth="1"/>
    <col min="9" max="9" width="5.21875" bestFit="1" customWidth="1"/>
    <col min="10" max="10" width="7.6640625" customWidth="1"/>
    <col min="11" max="11" width="20.21875" bestFit="1" customWidth="1"/>
    <col min="12" max="12" width="12.44140625" bestFit="1" customWidth="1"/>
    <col min="13" max="13" width="10.109375" customWidth="1"/>
    <col min="14" max="14" width="9.88671875" customWidth="1"/>
    <col min="15" max="15" width="9.21875" customWidth="1"/>
    <col min="16" max="16" width="6.5546875" customWidth="1"/>
    <col min="17" max="17" width="5.33203125" bestFit="1" customWidth="1"/>
    <col min="18" max="18" width="7.109375" bestFit="1" customWidth="1"/>
    <col min="19" max="19" width="5.21875" bestFit="1" customWidth="1"/>
    <col min="20" max="20" width="4.6640625" bestFit="1" customWidth="1"/>
    <col min="21" max="21" width="12.6640625" bestFit="1" customWidth="1"/>
    <col min="22" max="22" width="10.88671875" customWidth="1"/>
    <col min="23" max="23" width="16" bestFit="1" customWidth="1"/>
    <col min="24" max="24" width="10" customWidth="1"/>
    <col min="25" max="25" width="9.44140625" bestFit="1" customWidth="1"/>
    <col min="26" max="26" width="9" customWidth="1"/>
    <col min="27" max="27" width="11.6640625" customWidth="1"/>
    <col min="28" max="28" width="12.88671875" customWidth="1"/>
    <col min="29" max="29" width="12.6640625" customWidth="1"/>
    <col min="30" max="30" width="45.44140625" customWidth="1"/>
    <col min="31" max="31" width="19.33203125" bestFit="1" customWidth="1"/>
    <col min="32" max="32" width="12.6640625" customWidth="1"/>
    <col min="33" max="33" width="11.77734375" customWidth="1"/>
    <col min="34" max="34" width="11.109375" bestFit="1" customWidth="1"/>
    <col min="35" max="35" width="9.109375" bestFit="1" customWidth="1"/>
    <col min="36" max="36" width="15.44140625" customWidth="1"/>
    <col min="37" max="37" width="86.88671875" bestFit="1" customWidth="1"/>
    <col min="38" max="38" width="9.88671875" customWidth="1"/>
    <col min="39" max="39" width="9.21875" customWidth="1"/>
    <col min="40" max="40" width="6.5546875" customWidth="1"/>
    <col min="41" max="41" width="5.33203125" bestFit="1" customWidth="1"/>
    <col min="42" max="42" width="7.109375" bestFit="1" customWidth="1"/>
    <col min="43" max="43" width="5.21875" bestFit="1" customWidth="1"/>
    <col min="44" max="44" width="4.6640625" bestFit="1" customWidth="1"/>
    <col min="45" max="45" width="45.44140625" customWidth="1"/>
    <col min="46" max="46" width="19.33203125" bestFit="1" customWidth="1"/>
    <col min="47" max="47" width="12.6640625" customWidth="1"/>
    <col min="48" max="48" width="11.77734375" customWidth="1"/>
    <col min="49" max="49" width="11.109375" bestFit="1" customWidth="1"/>
    <col min="50" max="50" width="9.109375" bestFit="1" customWidth="1"/>
    <col min="51" max="51" width="15.44140625" customWidth="1"/>
    <col min="52" max="52" width="86.88671875" bestFit="1" customWidth="1"/>
  </cols>
  <sheetData>
    <row r="1" spans="1:37" ht="31.8" customHeight="1" x14ac:dyDescent="0.3">
      <c r="A1" s="2" t="s">
        <v>0</v>
      </c>
      <c r="B1" s="6" t="s">
        <v>25</v>
      </c>
      <c r="C1" s="6" t="s">
        <v>26</v>
      </c>
      <c r="D1" s="2" t="s">
        <v>1</v>
      </c>
      <c r="E1" s="2" t="s">
        <v>32</v>
      </c>
      <c r="F1" s="2" t="s">
        <v>33</v>
      </c>
      <c r="G1" s="2" t="s">
        <v>135</v>
      </c>
      <c r="H1" s="2" t="s">
        <v>148</v>
      </c>
      <c r="I1" s="2" t="s">
        <v>34</v>
      </c>
      <c r="J1" s="6" t="s">
        <v>35</v>
      </c>
      <c r="K1" s="2" t="s">
        <v>36</v>
      </c>
      <c r="L1" s="2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2" t="s">
        <v>42</v>
      </c>
      <c r="R1" s="6" t="s">
        <v>43</v>
      </c>
      <c r="S1" s="2" t="s">
        <v>44</v>
      </c>
      <c r="T1" s="2" t="s">
        <v>45</v>
      </c>
      <c r="U1" s="2" t="s">
        <v>3</v>
      </c>
      <c r="V1" s="6" t="s">
        <v>128</v>
      </c>
      <c r="W1" s="6" t="s">
        <v>129</v>
      </c>
      <c r="X1" s="6" t="s">
        <v>130</v>
      </c>
      <c r="Y1" s="6" t="s">
        <v>131</v>
      </c>
      <c r="Z1" s="6" t="s">
        <v>132</v>
      </c>
      <c r="AA1" s="6" t="s">
        <v>19</v>
      </c>
      <c r="AB1" s="6" t="s">
        <v>20</v>
      </c>
      <c r="AC1" s="6" t="s">
        <v>2</v>
      </c>
      <c r="AD1" s="6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</row>
    <row r="2" spans="1:37" ht="30" customHeight="1" x14ac:dyDescent="0.3">
      <c r="A2" s="9" t="s">
        <v>7</v>
      </c>
      <c r="B2" s="8">
        <v>59462</v>
      </c>
      <c r="C2" s="7">
        <v>111.37</v>
      </c>
      <c r="D2" s="3" t="s">
        <v>4</v>
      </c>
      <c r="E2" s="3" t="s">
        <v>103</v>
      </c>
      <c r="F2" s="3" t="s">
        <v>104</v>
      </c>
      <c r="G2" s="3" t="s">
        <v>54</v>
      </c>
      <c r="H2" s="3" t="s">
        <v>102</v>
      </c>
      <c r="I2" s="3" t="s">
        <v>105</v>
      </c>
      <c r="J2" s="3">
        <v>187</v>
      </c>
      <c r="K2" s="3" t="s">
        <v>140</v>
      </c>
      <c r="L2" s="3" t="s">
        <v>87</v>
      </c>
      <c r="M2" s="3" t="s">
        <v>60</v>
      </c>
      <c r="N2" s="3" t="s">
        <v>60</v>
      </c>
      <c r="O2" s="3" t="s">
        <v>60</v>
      </c>
      <c r="P2" s="3" t="s">
        <v>60</v>
      </c>
      <c r="Q2" s="3" t="s">
        <v>60</v>
      </c>
      <c r="R2" s="3" t="s">
        <v>60</v>
      </c>
      <c r="S2" s="3" t="s">
        <v>60</v>
      </c>
      <c r="T2" s="3" t="s">
        <v>60</v>
      </c>
      <c r="U2" s="4">
        <f>501340/10.76</f>
        <v>46592.936802973978</v>
      </c>
      <c r="V2" s="3">
        <v>24.55</v>
      </c>
      <c r="W2" s="3">
        <v>22.8</v>
      </c>
      <c r="X2" s="3">
        <f>V2+W2</f>
        <v>47.35</v>
      </c>
      <c r="Y2" s="3">
        <v>87.57</v>
      </c>
      <c r="Z2" s="3">
        <v>43</v>
      </c>
      <c r="AA2" s="3">
        <v>42</v>
      </c>
      <c r="AB2" s="3" t="s">
        <v>21</v>
      </c>
      <c r="AC2" s="1">
        <v>7.0000000000000007E-2</v>
      </c>
      <c r="AD2" s="5" t="s">
        <v>106</v>
      </c>
      <c r="AE2" s="3" t="s">
        <v>107</v>
      </c>
      <c r="AF2" s="3" t="s">
        <v>108</v>
      </c>
      <c r="AG2" s="3" t="s">
        <v>109</v>
      </c>
      <c r="AH2" s="3" t="s">
        <v>110</v>
      </c>
      <c r="AI2" s="3" t="s">
        <v>111</v>
      </c>
      <c r="AJ2" s="3" t="s">
        <v>112</v>
      </c>
      <c r="AK2" s="5" t="s">
        <v>113</v>
      </c>
    </row>
    <row r="3" spans="1:37" ht="20.399999999999999" customHeight="1" x14ac:dyDescent="0.3">
      <c r="A3" s="9"/>
      <c r="B3" s="7"/>
      <c r="C3" s="7"/>
      <c r="D3" s="3" t="s">
        <v>5</v>
      </c>
      <c r="E3" s="3" t="s">
        <v>115</v>
      </c>
      <c r="F3" s="3" t="s">
        <v>116</v>
      </c>
      <c r="G3" s="3" t="s">
        <v>136</v>
      </c>
      <c r="H3" s="3" t="s">
        <v>114</v>
      </c>
      <c r="I3" s="3" t="s">
        <v>101</v>
      </c>
      <c r="J3" s="3">
        <v>55</v>
      </c>
      <c r="K3" s="3" t="s">
        <v>141</v>
      </c>
      <c r="L3" s="3" t="s">
        <v>87</v>
      </c>
      <c r="M3" s="3" t="s">
        <v>60</v>
      </c>
      <c r="N3" s="3" t="s">
        <v>60</v>
      </c>
      <c r="O3" s="3" t="s">
        <v>60</v>
      </c>
      <c r="P3" s="3" t="s">
        <v>60</v>
      </c>
      <c r="Q3" s="3" t="s">
        <v>60</v>
      </c>
      <c r="R3" s="3" t="s">
        <v>60</v>
      </c>
      <c r="S3" s="3" t="s">
        <v>60</v>
      </c>
      <c r="T3" s="3" t="s">
        <v>60</v>
      </c>
      <c r="U3" s="4">
        <f>116272/10.76</f>
        <v>10805.947955390335</v>
      </c>
      <c r="V3" s="3">
        <v>8.82</v>
      </c>
      <c r="W3" s="3">
        <v>4.0999999999999996</v>
      </c>
      <c r="X3" s="3">
        <f t="shared" ref="X3:X11" si="0">V3+W3</f>
        <v>12.92</v>
      </c>
      <c r="Y3" s="3">
        <v>18.5</v>
      </c>
      <c r="Z3" s="3">
        <v>25</v>
      </c>
      <c r="AA3" s="3">
        <v>16</v>
      </c>
      <c r="AB3" s="3" t="s">
        <v>22</v>
      </c>
      <c r="AC3" s="1">
        <v>0.12</v>
      </c>
      <c r="AD3" s="3" t="s">
        <v>69</v>
      </c>
      <c r="AE3" s="3" t="s">
        <v>117</v>
      </c>
      <c r="AF3" s="3"/>
      <c r="AG3" s="3" t="s">
        <v>118</v>
      </c>
      <c r="AH3" s="3" t="s">
        <v>110</v>
      </c>
      <c r="AI3" s="3" t="s">
        <v>111</v>
      </c>
      <c r="AJ3" s="3" t="s">
        <v>119</v>
      </c>
      <c r="AK3" s="5" t="s">
        <v>120</v>
      </c>
    </row>
    <row r="4" spans="1:37" ht="24" customHeight="1" x14ac:dyDescent="0.3">
      <c r="A4" s="9"/>
      <c r="B4" s="7"/>
      <c r="C4" s="7"/>
      <c r="D4" s="3" t="s">
        <v>6</v>
      </c>
      <c r="E4" s="3" t="s">
        <v>121</v>
      </c>
      <c r="F4" s="3" t="s">
        <v>122</v>
      </c>
      <c r="G4" s="3" t="s">
        <v>54</v>
      </c>
      <c r="H4" s="3"/>
      <c r="I4" s="3" t="s">
        <v>123</v>
      </c>
      <c r="J4" s="3">
        <v>8</v>
      </c>
      <c r="K4" s="3" t="s">
        <v>142</v>
      </c>
      <c r="L4" s="3" t="s">
        <v>87</v>
      </c>
      <c r="M4" s="3"/>
      <c r="N4" s="3" t="s">
        <v>60</v>
      </c>
      <c r="O4" s="3" t="s">
        <v>60</v>
      </c>
      <c r="P4" s="3" t="s">
        <v>60</v>
      </c>
      <c r="Q4" s="3" t="s">
        <v>60</v>
      </c>
      <c r="R4" s="3"/>
      <c r="S4" s="3"/>
      <c r="T4" s="3"/>
      <c r="U4" s="4">
        <f>22200/10.76</f>
        <v>2063.1970260223047</v>
      </c>
      <c r="V4" s="3">
        <v>1.41</v>
      </c>
      <c r="W4" s="3">
        <v>0.53</v>
      </c>
      <c r="X4" s="3">
        <f>V4+W4</f>
        <v>1.94</v>
      </c>
      <c r="Y4" s="3">
        <v>5.3</v>
      </c>
      <c r="Z4" s="3">
        <v>18</v>
      </c>
      <c r="AA4" s="3">
        <v>16</v>
      </c>
      <c r="AB4" s="3" t="s">
        <v>23</v>
      </c>
      <c r="AC4" s="1">
        <v>7.0000000000000007E-2</v>
      </c>
      <c r="AD4" s="3" t="s">
        <v>69</v>
      </c>
      <c r="AE4" s="3" t="s">
        <v>146</v>
      </c>
      <c r="AF4" s="3"/>
      <c r="AG4" s="3"/>
      <c r="AH4" s="3"/>
      <c r="AI4" s="3"/>
      <c r="AJ4" s="3" t="s">
        <v>124</v>
      </c>
      <c r="AK4" s="5" t="s">
        <v>125</v>
      </c>
    </row>
    <row r="5" spans="1:37" ht="26.4" customHeight="1" x14ac:dyDescent="0.3">
      <c r="A5" s="10" t="s">
        <v>8</v>
      </c>
      <c r="B5" s="8">
        <v>44433</v>
      </c>
      <c r="C5" s="7">
        <v>44.53</v>
      </c>
      <c r="D5" s="5" t="s">
        <v>9</v>
      </c>
      <c r="E5" s="3" t="s">
        <v>95</v>
      </c>
      <c r="F5" s="3" t="s">
        <v>96</v>
      </c>
      <c r="G5" s="3" t="s">
        <v>137</v>
      </c>
      <c r="H5" s="3"/>
      <c r="I5" s="3" t="s">
        <v>67</v>
      </c>
      <c r="J5" s="3">
        <v>78</v>
      </c>
      <c r="K5" s="3" t="s">
        <v>139</v>
      </c>
      <c r="L5" s="3" t="s">
        <v>58</v>
      </c>
      <c r="M5" s="3" t="s">
        <v>60</v>
      </c>
      <c r="N5" s="3" t="s">
        <v>60</v>
      </c>
      <c r="O5" s="3" t="s">
        <v>60</v>
      </c>
      <c r="P5" s="3" t="s">
        <v>59</v>
      </c>
      <c r="Q5" s="3" t="s">
        <v>60</v>
      </c>
      <c r="R5" s="3" t="s">
        <v>60</v>
      </c>
      <c r="S5" s="3" t="s">
        <v>60</v>
      </c>
      <c r="T5" s="3" t="s">
        <v>59</v>
      </c>
      <c r="U5" s="4">
        <f>107600/10.76</f>
        <v>10000</v>
      </c>
      <c r="V5" s="3">
        <v>10.3</v>
      </c>
      <c r="W5" s="3">
        <v>4.2300000000000004</v>
      </c>
      <c r="X5" s="3">
        <f t="shared" si="0"/>
        <v>14.530000000000001</v>
      </c>
      <c r="Y5" s="3">
        <v>17.600000000000001</v>
      </c>
      <c r="Z5" s="3">
        <v>27</v>
      </c>
      <c r="AA5" s="3">
        <v>23</v>
      </c>
      <c r="AB5" s="3" t="s">
        <v>30</v>
      </c>
      <c r="AC5" s="3"/>
      <c r="AD5" s="3" t="s">
        <v>80</v>
      </c>
      <c r="AE5" s="3" t="s">
        <v>97</v>
      </c>
      <c r="AF5" s="3"/>
      <c r="AG5" s="3" t="s">
        <v>98</v>
      </c>
      <c r="AH5" s="3"/>
      <c r="AI5" s="3"/>
      <c r="AJ5" s="3" t="s">
        <v>99</v>
      </c>
      <c r="AK5" s="3" t="s">
        <v>100</v>
      </c>
    </row>
    <row r="6" spans="1:37" ht="20.399999999999999" customHeight="1" x14ac:dyDescent="0.3">
      <c r="A6" s="10"/>
      <c r="B6" s="7"/>
      <c r="C6" s="7"/>
      <c r="D6" s="3" t="s">
        <v>10</v>
      </c>
      <c r="E6" s="3" t="s">
        <v>133</v>
      </c>
      <c r="F6" s="3" t="s">
        <v>134</v>
      </c>
      <c r="G6" s="3" t="s">
        <v>138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>
        <f>370500/10.76</f>
        <v>34433.085501858739</v>
      </c>
      <c r="V6" s="3"/>
      <c r="W6" s="3"/>
      <c r="X6" s="3">
        <v>30</v>
      </c>
      <c r="Y6" s="3"/>
      <c r="Z6" s="3">
        <v>7</v>
      </c>
      <c r="AA6" s="3">
        <v>4</v>
      </c>
      <c r="AB6" s="3" t="s">
        <v>24</v>
      </c>
      <c r="AC6" s="1">
        <v>0.03</v>
      </c>
      <c r="AD6" s="3"/>
      <c r="AE6" s="3"/>
      <c r="AF6" s="3"/>
      <c r="AG6" s="3"/>
      <c r="AH6" s="3"/>
      <c r="AI6" s="3"/>
      <c r="AJ6" s="3"/>
      <c r="AK6" s="3"/>
    </row>
    <row r="7" spans="1:37" x14ac:dyDescent="0.3">
      <c r="A7" s="9" t="s">
        <v>11</v>
      </c>
      <c r="B7" s="8">
        <v>18382</v>
      </c>
      <c r="C7" s="7">
        <v>45.19</v>
      </c>
      <c r="D7" s="3" t="s">
        <v>12</v>
      </c>
      <c r="E7" s="3" t="s">
        <v>85</v>
      </c>
      <c r="F7" s="3" t="s">
        <v>86</v>
      </c>
      <c r="G7" s="3" t="s">
        <v>54</v>
      </c>
      <c r="H7" s="3"/>
      <c r="I7" s="3" t="s">
        <v>67</v>
      </c>
      <c r="J7" s="3">
        <v>82</v>
      </c>
      <c r="K7" s="3" t="s">
        <v>139</v>
      </c>
      <c r="L7" s="3" t="s">
        <v>87</v>
      </c>
      <c r="M7" s="3" t="s">
        <v>60</v>
      </c>
      <c r="N7" s="3" t="s">
        <v>60</v>
      </c>
      <c r="O7" s="3" t="s">
        <v>60</v>
      </c>
      <c r="P7" s="3" t="s">
        <v>60</v>
      </c>
      <c r="Q7" s="3" t="s">
        <v>60</v>
      </c>
      <c r="R7" s="3" t="s">
        <v>60</v>
      </c>
      <c r="S7" s="3" t="s">
        <v>60</v>
      </c>
      <c r="T7" s="3" t="s">
        <v>60</v>
      </c>
      <c r="U7" s="4">
        <v>12082</v>
      </c>
      <c r="V7" s="3">
        <v>17.2</v>
      </c>
      <c r="W7" s="3">
        <v>6.83</v>
      </c>
      <c r="X7" s="3">
        <f t="shared" si="0"/>
        <v>24.03</v>
      </c>
      <c r="Y7" s="3">
        <v>31.93</v>
      </c>
      <c r="Z7" s="3">
        <v>40</v>
      </c>
      <c r="AA7" s="3">
        <v>29</v>
      </c>
      <c r="AB7" s="3" t="s">
        <v>23</v>
      </c>
      <c r="AC7" s="1">
        <v>0.08</v>
      </c>
      <c r="AD7" s="3" t="s">
        <v>88</v>
      </c>
      <c r="AE7" s="3" t="s">
        <v>89</v>
      </c>
      <c r="AF7" s="3" t="s">
        <v>90</v>
      </c>
      <c r="AG7" s="3" t="s">
        <v>91</v>
      </c>
      <c r="AH7" s="3" t="s">
        <v>73</v>
      </c>
      <c r="AI7" s="3" t="s">
        <v>92</v>
      </c>
      <c r="AJ7" s="3" t="s">
        <v>93</v>
      </c>
      <c r="AK7" s="3" t="s">
        <v>94</v>
      </c>
    </row>
    <row r="8" spans="1:37" x14ac:dyDescent="0.3">
      <c r="A8" s="9"/>
      <c r="B8" s="7"/>
      <c r="C8" s="7"/>
      <c r="D8" s="3" t="s">
        <v>13</v>
      </c>
      <c r="E8" s="3" t="s">
        <v>126</v>
      </c>
      <c r="F8" s="3" t="s">
        <v>86</v>
      </c>
      <c r="G8" s="3" t="s">
        <v>54</v>
      </c>
      <c r="H8" s="3"/>
      <c r="I8" s="3" t="s">
        <v>67</v>
      </c>
      <c r="J8" s="3">
        <v>42</v>
      </c>
      <c r="K8" s="3" t="s">
        <v>143</v>
      </c>
      <c r="L8" s="3" t="s">
        <v>87</v>
      </c>
      <c r="M8" s="3" t="s">
        <v>60</v>
      </c>
      <c r="N8" s="3" t="s">
        <v>60</v>
      </c>
      <c r="O8" s="3" t="s">
        <v>60</v>
      </c>
      <c r="P8" s="3" t="s">
        <v>60</v>
      </c>
      <c r="Q8" s="3" t="s">
        <v>60</v>
      </c>
      <c r="R8" s="3" t="s">
        <v>60</v>
      </c>
      <c r="S8" s="3" t="s">
        <v>60</v>
      </c>
      <c r="T8" s="3" t="s">
        <v>60</v>
      </c>
      <c r="U8" s="4">
        <f>67788/10.76</f>
        <v>6300</v>
      </c>
      <c r="V8" s="3">
        <v>7.6</v>
      </c>
      <c r="W8" s="3">
        <v>2.74</v>
      </c>
      <c r="X8" s="3">
        <f t="shared" si="0"/>
        <v>10.34</v>
      </c>
      <c r="Y8" s="3">
        <v>13.26</v>
      </c>
      <c r="Z8" s="3">
        <v>34</v>
      </c>
      <c r="AA8" s="3">
        <v>27</v>
      </c>
      <c r="AB8" s="3" t="s">
        <v>28</v>
      </c>
      <c r="AC8" s="1">
        <v>0</v>
      </c>
      <c r="AD8" s="3" t="s">
        <v>147</v>
      </c>
      <c r="AE8" s="3" t="s">
        <v>127</v>
      </c>
      <c r="AF8" s="3"/>
      <c r="AG8" s="3" t="s">
        <v>91</v>
      </c>
      <c r="AH8" s="3" t="s">
        <v>73</v>
      </c>
      <c r="AI8" s="3" t="s">
        <v>92</v>
      </c>
      <c r="AJ8" s="3" t="s">
        <v>93</v>
      </c>
      <c r="AK8" s="3"/>
    </row>
    <row r="9" spans="1:37" x14ac:dyDescent="0.3">
      <c r="A9" s="9" t="s">
        <v>14</v>
      </c>
      <c r="B9" s="8">
        <v>16400</v>
      </c>
      <c r="C9" s="7">
        <v>36.340000000000003</v>
      </c>
      <c r="D9" s="3" t="s">
        <v>15</v>
      </c>
      <c r="E9" s="3" t="s">
        <v>66</v>
      </c>
      <c r="F9" s="3" t="s">
        <v>56</v>
      </c>
      <c r="G9" s="3" t="s">
        <v>54</v>
      </c>
      <c r="H9" s="3" t="s">
        <v>149</v>
      </c>
      <c r="I9" s="3" t="s">
        <v>67</v>
      </c>
      <c r="J9" s="3">
        <v>75</v>
      </c>
      <c r="K9" s="3" t="s">
        <v>144</v>
      </c>
      <c r="L9" s="3" t="s">
        <v>68</v>
      </c>
      <c r="M9" s="3" t="s">
        <v>60</v>
      </c>
      <c r="N9" s="3" t="s">
        <v>60</v>
      </c>
      <c r="O9" s="3" t="s">
        <v>60</v>
      </c>
      <c r="P9" s="3" t="s">
        <v>60</v>
      </c>
      <c r="Q9" s="3" t="s">
        <v>60</v>
      </c>
      <c r="R9" s="3" t="s">
        <v>60</v>
      </c>
      <c r="S9" s="3" t="s">
        <v>60</v>
      </c>
      <c r="T9" s="3" t="s">
        <v>60</v>
      </c>
      <c r="U9" s="4">
        <f>142860/10.76</f>
        <v>13276.951672862453</v>
      </c>
      <c r="V9" s="3">
        <v>16.8</v>
      </c>
      <c r="W9" s="3">
        <v>5.72</v>
      </c>
      <c r="X9" s="3">
        <f t="shared" si="0"/>
        <v>22.52</v>
      </c>
      <c r="Y9" s="3">
        <v>30.5</v>
      </c>
      <c r="Z9" s="3">
        <v>29</v>
      </c>
      <c r="AA9" s="3">
        <v>19</v>
      </c>
      <c r="AB9" s="3" t="s">
        <v>27</v>
      </c>
      <c r="AC9" s="1">
        <v>0.02</v>
      </c>
      <c r="AD9" s="3" t="s">
        <v>69</v>
      </c>
      <c r="AE9" s="3" t="s">
        <v>70</v>
      </c>
      <c r="AF9" s="3" t="s">
        <v>71</v>
      </c>
      <c r="AG9" s="3" t="s">
        <v>72</v>
      </c>
      <c r="AH9" s="3" t="s">
        <v>73</v>
      </c>
      <c r="AI9" s="3" t="s">
        <v>74</v>
      </c>
      <c r="AJ9" s="3" t="s">
        <v>75</v>
      </c>
      <c r="AK9" s="3" t="s">
        <v>76</v>
      </c>
    </row>
    <row r="10" spans="1:37" x14ac:dyDescent="0.3">
      <c r="A10" s="9"/>
      <c r="B10" s="7"/>
      <c r="C10" s="7"/>
      <c r="D10" s="3" t="s">
        <v>16</v>
      </c>
      <c r="E10" s="3" t="s">
        <v>77</v>
      </c>
      <c r="F10" s="3" t="s">
        <v>78</v>
      </c>
      <c r="G10" s="3" t="s">
        <v>137</v>
      </c>
      <c r="H10" s="3"/>
      <c r="I10" s="3" t="s">
        <v>79</v>
      </c>
      <c r="J10" s="3">
        <v>24</v>
      </c>
      <c r="K10" s="3" t="s">
        <v>145</v>
      </c>
      <c r="L10" s="3" t="s">
        <v>58</v>
      </c>
      <c r="M10" s="3" t="s">
        <v>59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60</v>
      </c>
      <c r="S10" s="3" t="s">
        <v>60</v>
      </c>
      <c r="T10" s="3" t="s">
        <v>59</v>
      </c>
      <c r="U10" s="4">
        <f>33600/10.76</f>
        <v>3122.6765799256505</v>
      </c>
      <c r="V10" s="3">
        <v>3.53</v>
      </c>
      <c r="W10" s="3">
        <v>1.03</v>
      </c>
      <c r="X10" s="3">
        <f t="shared" si="0"/>
        <v>4.5599999999999996</v>
      </c>
      <c r="Y10" s="3">
        <v>5.84</v>
      </c>
      <c r="Z10" s="3">
        <v>15</v>
      </c>
      <c r="AA10" s="3">
        <v>28</v>
      </c>
      <c r="AB10" s="3" t="s">
        <v>31</v>
      </c>
      <c r="AC10" s="1">
        <v>0.08</v>
      </c>
      <c r="AD10" s="3" t="s">
        <v>80</v>
      </c>
      <c r="AE10" s="3" t="s">
        <v>81</v>
      </c>
      <c r="AF10" s="3"/>
      <c r="AG10" s="3" t="s">
        <v>82</v>
      </c>
      <c r="AH10" s="3"/>
      <c r="AI10" s="3"/>
      <c r="AJ10" s="3" t="s">
        <v>83</v>
      </c>
      <c r="AK10" s="3" t="s">
        <v>84</v>
      </c>
    </row>
    <row r="11" spans="1:37" ht="40.799999999999997" customHeight="1" x14ac:dyDescent="0.3">
      <c r="A11" s="6" t="s">
        <v>17</v>
      </c>
      <c r="B11" s="4">
        <v>4862</v>
      </c>
      <c r="C11" s="3">
        <v>6.32</v>
      </c>
      <c r="D11" s="3" t="s">
        <v>18</v>
      </c>
      <c r="E11" s="3" t="s">
        <v>55</v>
      </c>
      <c r="F11" s="3" t="s">
        <v>56</v>
      </c>
      <c r="G11" s="3" t="s">
        <v>54</v>
      </c>
      <c r="H11" s="3"/>
      <c r="I11" s="3" t="s">
        <v>57</v>
      </c>
      <c r="J11" s="3">
        <v>14</v>
      </c>
      <c r="K11" s="3" t="s">
        <v>145</v>
      </c>
      <c r="L11" s="3" t="s">
        <v>58</v>
      </c>
      <c r="M11" s="3" t="s">
        <v>59</v>
      </c>
      <c r="N11" s="3" t="s">
        <v>60</v>
      </c>
      <c r="O11" s="3" t="s">
        <v>60</v>
      </c>
      <c r="P11" s="3" t="s">
        <v>60</v>
      </c>
      <c r="Q11" s="3" t="s">
        <v>60</v>
      </c>
      <c r="R11" s="3" t="s">
        <v>60</v>
      </c>
      <c r="S11" s="3" t="s">
        <v>60</v>
      </c>
      <c r="T11" s="3" t="s">
        <v>59</v>
      </c>
      <c r="U11" s="4">
        <f>52310/10.76</f>
        <v>4861.5241635687735</v>
      </c>
      <c r="V11" s="3">
        <v>3.21</v>
      </c>
      <c r="W11" s="3">
        <v>1.38</v>
      </c>
      <c r="X11" s="3">
        <f t="shared" si="0"/>
        <v>4.59</v>
      </c>
      <c r="Y11" s="3">
        <v>6.32</v>
      </c>
      <c r="Z11" s="3">
        <v>21</v>
      </c>
      <c r="AA11" s="3">
        <v>23</v>
      </c>
      <c r="AB11" s="3" t="s">
        <v>29</v>
      </c>
      <c r="AC11" s="1">
        <v>0</v>
      </c>
      <c r="AD11" s="3" t="s">
        <v>61</v>
      </c>
      <c r="AE11" s="3" t="s">
        <v>62</v>
      </c>
      <c r="AF11" s="3"/>
      <c r="AG11" s="3" t="s">
        <v>63</v>
      </c>
      <c r="AH11" s="3"/>
      <c r="AI11" s="3"/>
      <c r="AJ11" s="3" t="s">
        <v>64</v>
      </c>
      <c r="AK11" s="3" t="s">
        <v>65</v>
      </c>
    </row>
  </sheetData>
  <mergeCells count="12">
    <mergeCell ref="B2:B4"/>
    <mergeCell ref="C2:C4"/>
    <mergeCell ref="B5:B6"/>
    <mergeCell ref="C5:C6"/>
    <mergeCell ref="B7:B8"/>
    <mergeCell ref="C7:C8"/>
    <mergeCell ref="B9:B10"/>
    <mergeCell ref="C9:C10"/>
    <mergeCell ref="A2:A4"/>
    <mergeCell ref="A5:A6"/>
    <mergeCell ref="A7:A8"/>
    <mergeCell ref="A9:A10"/>
  </mergeCells>
  <printOptions horizontalCentered="1"/>
  <pageMargins left="0.2" right="0.2" top="0.75" bottom="0.75" header="0" footer="0"/>
  <pageSetup paperSize="9" fitToWidth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SUBBIR</dc:creator>
  <cp:lastModifiedBy>CIVIL SUBBIR</cp:lastModifiedBy>
  <cp:lastPrinted>2025-11-25T07:42:10Z</cp:lastPrinted>
  <dcterms:created xsi:type="dcterms:W3CDTF">2015-06-05T18:17:20Z</dcterms:created>
  <dcterms:modified xsi:type="dcterms:W3CDTF">2025-11-25T08:15:53Z</dcterms:modified>
</cp:coreProperties>
</file>